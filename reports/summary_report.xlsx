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VICTUS\Desktop\Projects\Project 1\"/>
    </mc:Choice>
  </mc:AlternateContent>
  <xr:revisionPtr revIDLastSave="0" documentId="13_ncr:1_{DEAAE9A7-A25B-4361-B27E-20F5DB07C97A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Top Products" sheetId="1" r:id="rId1"/>
    <sheet name="Month Revenue" sheetId="2" r:id="rId2"/>
    <sheet name="Rank Countries" sheetId="3" r:id="rId3"/>
    <sheet name="Revenue" sheetId="4" r:id="rId4"/>
    <sheet name="Users Comparison" sheetId="5" r:id="rId5"/>
    <sheet name="Revenue by Day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T45" i="3"/>
  <c r="C45" i="3"/>
  <c r="S45" i="3"/>
</calcChain>
</file>

<file path=xl/sharedStrings.xml><?xml version="1.0" encoding="utf-8"?>
<sst xmlns="http://schemas.openxmlformats.org/spreadsheetml/2006/main" count="221" uniqueCount="84">
  <si>
    <t>Description</t>
  </si>
  <si>
    <t>REGENCY CAKESTAND 3 TIER</t>
  </si>
  <si>
    <t>WHITE HANGING HEART T-LIGHT HOLDER</t>
  </si>
  <si>
    <t>PAPER CRAFT , LITTLE BIRDIE</t>
  </si>
  <si>
    <t>JUMBO BAG RED RETROSPOT</t>
  </si>
  <si>
    <t>PARTY BUNTING</t>
  </si>
  <si>
    <t>ASSORTED COLOUR BIRD ORNAMENT</t>
  </si>
  <si>
    <t xml:space="preserve">PAPER CHAIN KIT 50'S CHRISTMAS </t>
  </si>
  <si>
    <t>CHILLI LIGHTS</t>
  </si>
  <si>
    <t>MEDIUM CERAMIC TOP STORAGE JAR</t>
  </si>
  <si>
    <t>ROTATING SILVER ANGELS T-LIGHT HLDR</t>
  </si>
  <si>
    <t>Year</t>
  </si>
  <si>
    <t>Month</t>
  </si>
  <si>
    <t>United Kingdom</t>
  </si>
  <si>
    <t>Standard</t>
  </si>
  <si>
    <t>Ireland</t>
  </si>
  <si>
    <t>Netherlands</t>
  </si>
  <si>
    <t>Germany</t>
  </si>
  <si>
    <t>France</t>
  </si>
  <si>
    <t>Australia</t>
  </si>
  <si>
    <t>Spain</t>
  </si>
  <si>
    <t>Switzerland</t>
  </si>
  <si>
    <t>Sweden</t>
  </si>
  <si>
    <t>Denmark</t>
  </si>
  <si>
    <t>Belgium</t>
  </si>
  <si>
    <t>Portugal</t>
  </si>
  <si>
    <t>Japan</t>
  </si>
  <si>
    <t>Channel Islands</t>
  </si>
  <si>
    <t>Non-Standard</t>
  </si>
  <si>
    <t>Norway</t>
  </si>
  <si>
    <t>Italy</t>
  </si>
  <si>
    <t>Finland</t>
  </si>
  <si>
    <t>Cyprus</t>
  </si>
  <si>
    <t>Austria</t>
  </si>
  <si>
    <t>Greece</t>
  </si>
  <si>
    <t>Hong Kong</t>
  </si>
  <si>
    <t>Singapore</t>
  </si>
  <si>
    <t>Israel</t>
  </si>
  <si>
    <t>Unspecified</t>
  </si>
  <si>
    <t>Poland</t>
  </si>
  <si>
    <t>United Arab Emirates</t>
  </si>
  <si>
    <t>United States</t>
  </si>
  <si>
    <t>Lithuania</t>
  </si>
  <si>
    <t>Iceland</t>
  </si>
  <si>
    <t>Malta</t>
  </si>
  <si>
    <t>Canada</t>
  </si>
  <si>
    <t>South Africa</t>
  </si>
  <si>
    <t>Bahrain</t>
  </si>
  <si>
    <t>Thailand</t>
  </si>
  <si>
    <t>Lebanon</t>
  </si>
  <si>
    <t>Brazil</t>
  </si>
  <si>
    <t>Bermuda</t>
  </si>
  <si>
    <t>European Community</t>
  </si>
  <si>
    <t>Korea</t>
  </si>
  <si>
    <t>Czech Republic</t>
  </si>
  <si>
    <t>West Indies</t>
  </si>
  <si>
    <t>Saudi Arabia</t>
  </si>
  <si>
    <t>Nigeria</t>
  </si>
  <si>
    <t>Saturday</t>
  </si>
  <si>
    <t>Friday</t>
  </si>
  <si>
    <t>Thursday</t>
  </si>
  <si>
    <t>Tuesday</t>
  </si>
  <si>
    <t>Wednesday</t>
  </si>
  <si>
    <t>Monday</t>
  </si>
  <si>
    <t>Sunday</t>
  </si>
  <si>
    <t>Средний чек</t>
  </si>
  <si>
    <t>Всего заказов</t>
  </si>
  <si>
    <t>Статус</t>
  </si>
  <si>
    <t>Зарегестрированный</t>
  </si>
  <si>
    <t>Гостевой</t>
  </si>
  <si>
    <t>Week Day</t>
  </si>
  <si>
    <t>Average Check per Day</t>
  </si>
  <si>
    <t>Total Revenue</t>
  </si>
  <si>
    <t>Cancelled Sales</t>
  </si>
  <si>
    <t>Bad Debt</t>
  </si>
  <si>
    <t>Country</t>
  </si>
  <si>
    <t>Country Type</t>
  </si>
  <si>
    <t>Rank</t>
  </si>
  <si>
    <t>Average Revenue</t>
  </si>
  <si>
    <t>Average Revenue (3 months)</t>
  </si>
  <si>
    <t>Average Revenue (Month)</t>
  </si>
  <si>
    <t>Other</t>
  </si>
  <si>
    <t>Summary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</si>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</sst>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PAPER CRAFT , LITTLE BIRDIE</c:v>
                </c:pt>
                <c:pt idx="3">
                  <c:v>JUMBO BAG RED RETROSPOT</c:v>
                </c:pt>
                <c:pt idx="4">
                  <c:v>PARTY BUNTING</c:v>
                </c:pt>
                <c:pt idx="5">
                  <c:v>ASSORTED COLOUR BIRD ORNAMENT</c:v>
                </c:pt>
                <c:pt idx="6">
                  <c:v>PAPER CHAIN KIT 50'S CHRISTMAS </c:v>
                </c:pt>
                <c:pt idx="7">
                  <c:v>CHILLI LIGHTS</c:v>
                </c:pt>
                <c:pt idx="8">
                  <c:v>MEDIUM CERAMIC TOP STORAGE JAR</c:v>
                </c:pt>
                <c:pt idx="9">
                  <c:v>ROTATING SILVER ANGELS T-LIGHT HLDR</c:v>
                </c:pt>
              </c:strCache>
            </c:strRef>
          </c:cat>
          <c:val>
            <c:numRef>
              <c:f>'Top Products'!$B$2:$B$11</c:f>
              <c:numCache>
                <c:formatCode>General</c:formatCode>
                <c:ptCount val="10"/>
                <c:pt idx="0">
                  <c:v>344563.25</c:v>
                </c:pt>
                <c:pt idx="1">
                  <c:v>266923.55</c:v>
                </c:pt>
                <c:pt idx="2">
                  <c:v>168469.6</c:v>
                </c:pt>
                <c:pt idx="3">
                  <c:v>150935.56</c:v>
                </c:pt>
                <c:pt idx="4">
                  <c:v>149187.04999999999</c:v>
                </c:pt>
                <c:pt idx="5">
                  <c:v>132187.92000000001</c:v>
                </c:pt>
                <c:pt idx="6">
                  <c:v>123141.54</c:v>
                </c:pt>
                <c:pt idx="7">
                  <c:v>85489.91</c:v>
                </c:pt>
                <c:pt idx="8">
                  <c:v>81700.920000000013</c:v>
                </c:pt>
                <c:pt idx="9">
                  <c:v>74448.92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2-4F29-9393-A782362408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527168544"/>
        <c:axId val="263475824"/>
      </c:barChart>
      <c:catAx>
        <c:axId val="52716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3475824"/>
        <c:crosses val="autoZero"/>
        <c:auto val="1"/>
        <c:lblAlgn val="ctr"/>
        <c:lblOffset val="100"/>
        <c:noMultiLvlLbl val="0"/>
      </c:catAx>
      <c:valAx>
        <c:axId val="2634758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716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'Rank Countries'!$C$1</c:f>
              <c:strCache>
                <c:ptCount val="1"/>
                <c:pt idx="0">
                  <c:v>Average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('Rank Countries'!$A$2:$A$11,'Rank Countries'!$A$45)</c:f>
              <c:strCache>
                <c:ptCount val="11"/>
                <c:pt idx="0">
                  <c:v>Netherlands</c:v>
                </c:pt>
                <c:pt idx="1">
                  <c:v>Japan</c:v>
                </c:pt>
                <c:pt idx="2">
                  <c:v>Australia</c:v>
                </c:pt>
                <c:pt idx="3">
                  <c:v>Denmark</c:v>
                </c:pt>
                <c:pt idx="4">
                  <c:v>Sweden</c:v>
                </c:pt>
                <c:pt idx="5">
                  <c:v>Thailand</c:v>
                </c:pt>
                <c:pt idx="6">
                  <c:v>Singapore</c:v>
                </c:pt>
                <c:pt idx="7">
                  <c:v>Hong Kong</c:v>
                </c:pt>
                <c:pt idx="8">
                  <c:v>Bermuda</c:v>
                </c:pt>
                <c:pt idx="9">
                  <c:v>Ireland</c:v>
                </c:pt>
                <c:pt idx="10">
                  <c:v>Other</c:v>
                </c:pt>
              </c:strCache>
            </c:strRef>
          </c:cat>
          <c:val>
            <c:numRef>
              <c:f>('Rank Countries'!$C$2:$C$11,'Rank Countries'!$C$45)</c:f>
              <c:numCache>
                <c:formatCode>General</c:formatCode>
                <c:ptCount val="11"/>
                <c:pt idx="0">
                  <c:v>110.26</c:v>
                </c:pt>
                <c:pt idx="1">
                  <c:v>97.19</c:v>
                </c:pt>
                <c:pt idx="2">
                  <c:v>93.18</c:v>
                </c:pt>
                <c:pt idx="3">
                  <c:v>88.46</c:v>
                </c:pt>
                <c:pt idx="4">
                  <c:v>67.099999999999994</c:v>
                </c:pt>
                <c:pt idx="5">
                  <c:v>40.4</c:v>
                </c:pt>
                <c:pt idx="6">
                  <c:v>39.630000000000003</c:v>
                </c:pt>
                <c:pt idx="7">
                  <c:v>39.53</c:v>
                </c:pt>
                <c:pt idx="8">
                  <c:v>36.86</c:v>
                </c:pt>
                <c:pt idx="9">
                  <c:v>36.65</c:v>
                </c:pt>
                <c:pt idx="10">
                  <c:v>737.79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6-48DF-B71A-DC4629D27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17607174103235"/>
          <c:y val="9.569152814231556E-2"/>
          <c:w val="0.16915726159230096"/>
          <c:h val="0.85532954214056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'Rank Countries'!$T$1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('Rank Countries'!$Q$2:$Q$11,'Rank Countries'!$Q$45)</c:f>
              <c:strCache>
                <c:ptCount val="11"/>
                <c:pt idx="0">
                  <c:v>United Kingdom</c:v>
                </c:pt>
                <c:pt idx="1">
                  <c:v>Ireland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  <c:pt idx="10">
                  <c:v>Other</c:v>
                </c:pt>
              </c:strCache>
            </c:strRef>
          </c:cat>
          <c:val>
            <c:numRef>
              <c:f>('Rank Countries'!$T$2:$T$11,'Rank Countries'!$T$45)</c:f>
              <c:numCache>
                <c:formatCode>General</c:formatCode>
                <c:ptCount val="11"/>
                <c:pt idx="0">
                  <c:v>17179285.199999999</c:v>
                </c:pt>
                <c:pt idx="1">
                  <c:v>625298.07999999996</c:v>
                </c:pt>
                <c:pt idx="2">
                  <c:v>549952.66</c:v>
                </c:pt>
                <c:pt idx="3">
                  <c:v>387426.05</c:v>
                </c:pt>
                <c:pt idx="4">
                  <c:v>315336.34999999998</c:v>
                </c:pt>
                <c:pt idx="5">
                  <c:v>168466.81</c:v>
                </c:pt>
                <c:pt idx="6">
                  <c:v>98612.79</c:v>
                </c:pt>
                <c:pt idx="7">
                  <c:v>94198.89</c:v>
                </c:pt>
                <c:pt idx="8">
                  <c:v>86353.04</c:v>
                </c:pt>
                <c:pt idx="9">
                  <c:v>68560.19</c:v>
                </c:pt>
                <c:pt idx="10">
                  <c:v>474113.24999999988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D-407B-9F11-E4E61A3B7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75874890638674"/>
          <c:y val="8.6432268883056301E-2"/>
          <c:w val="0.20857458442694662"/>
          <c:h val="0.864588801399824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Loss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Revenue!$B$1:$C$1</c:f>
              <c:strCache>
                <c:ptCount val="2"/>
                <c:pt idx="0">
                  <c:v>Cancelled Sales</c:v>
                </c:pt>
                <c:pt idx="1">
                  <c:v>Bad Debt</c:v>
                </c:pt>
              </c:strCache>
            </c:strRef>
          </c:cat>
          <c:val>
            <c:numRef>
              <c:f>Revenue!$B$2:$C$2</c:f>
              <c:numCache>
                <c:formatCode>General</c:formatCode>
                <c:ptCount val="2"/>
                <c:pt idx="0">
                  <c:v>-1526667.86</c:v>
                </c:pt>
                <c:pt idx="1">
                  <c:v>-147614.07999999999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2-47A1-B8EC-BFE4D88D3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878800"/>
        <c:axId val="263479568"/>
      </c:barChart>
      <c:catAx>
        <c:axId val="360878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3479568"/>
        <c:auto val="1"/>
        <c:lblAlgn val="ctr"/>
        <c:lblOffset val="100"/>
        <c:noMultiLvlLbl val="0"/>
      </c:catAx>
      <c:valAx>
        <c:axId val="2634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0878800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'Users Comparison'!$B$1</c:f>
              <c:strCache>
                <c:ptCount val="1"/>
                <c:pt idx="0">
                  <c:v>Средний чек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8B-4464-B66A-E4EB1596698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8B-4464-B66A-E4EB15966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'Users Comparison'!$A$2:$A$3</c:f>
              <c:strCache>
                <c:ptCount val="2"/>
                <c:pt idx="0">
                  <c:v>Зарегестрированный</c:v>
                </c:pt>
                <c:pt idx="1">
                  <c:v>Гостевой</c:v>
                </c:pt>
              </c:strCache>
            </c:strRef>
          </c:cat>
          <c:val>
            <c:numRef>
              <c:f>'Users Comparison'!$B$2:$B$3</c:f>
              <c:numCache>
                <c:formatCode>General</c:formatCode>
                <c:ptCount val="2"/>
                <c:pt idx="0">
                  <c:v>479.88</c:v>
                </c:pt>
                <c:pt idx="1">
                  <c:v>367.24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1-4E2E-9E84-0381786A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31108736"/>
        <c:axId val="254352928"/>
      </c:barChart>
      <c:valAx>
        <c:axId val="25435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108736"/>
        <c:crossBetween val="between"/>
      </c:valAx>
      <c:catAx>
        <c:axId val="5311087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43529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'Users Comparison'!$C$1</c:f>
              <c:strCache>
                <c:ptCount val="1"/>
                <c:pt idx="0">
                  <c:v>Всего заказов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'Users Comparison'!$A$2:$A$3</c:f>
              <c:strCache>
                <c:ptCount val="2"/>
                <c:pt idx="0">
                  <c:v>Зарегестрированный</c:v>
                </c:pt>
                <c:pt idx="1">
                  <c:v>Гостевой</c:v>
                </c:pt>
              </c:strCache>
            </c:strRef>
          </c:cat>
          <c:val>
            <c:numRef>
              <c:f>'Users Comparison'!$C$2:$C$3</c:f>
              <c:numCache>
                <c:formatCode>General</c:formatCode>
                <c:ptCount val="2"/>
                <c:pt idx="0">
                  <c:v>36975</c:v>
                </c:pt>
                <c:pt idx="1">
                  <c:v>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6-4C42-91E8-8345D5A95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Days'!$B$1</c:f>
              <c:strCache>
                <c:ptCount val="1"/>
                <c:pt idx="0">
                  <c:v>Average Check per 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Days'!$A$2:$A$8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'Revenue by Days'!$B$2:$B$8</c:f>
              <c:numCache>
                <c:formatCode>General</c:formatCode>
                <c:ptCount val="7"/>
                <c:pt idx="0">
                  <c:v>18.760000000000002</c:v>
                </c:pt>
                <c:pt idx="1">
                  <c:v>20.7</c:v>
                </c:pt>
                <c:pt idx="2">
                  <c:v>19.239999999999998</c:v>
                </c:pt>
                <c:pt idx="3">
                  <c:v>20.81</c:v>
                </c:pt>
                <c:pt idx="4">
                  <c:v>21.42</c:v>
                </c:pt>
                <c:pt idx="5">
                  <c:v>24.25</c:v>
                </c:pt>
                <c:pt idx="6">
                  <c:v>13.26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81-403C-8596-8558289C2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862416"/>
        <c:axId val="331819744"/>
      </c:barChart>
      <c:catAx>
        <c:axId val="7308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1819744"/>
        <c:crosses val="autoZero"/>
        <c:auto val="1"/>
        <c:lblAlgn val="ctr"/>
        <c:lblOffset val="100"/>
        <c:noMultiLvlLbl val="0"/>
      </c:catAx>
      <c:valAx>
        <c:axId val="3318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08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by Days'!$C$1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B532-4A9E-8434-089EB75B86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Days'!$A$2:$A$8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'Revenue by Days'!$C$2:$C$8</c:f>
              <c:numCache>
                <c:formatCode>General</c:formatCode>
                <c:ptCount val="7"/>
                <c:pt idx="0">
                  <c:v>3466988.26</c:v>
                </c:pt>
                <c:pt idx="1">
                  <c:v>3957669.07</c:v>
                </c:pt>
                <c:pt idx="2">
                  <c:v>3474851.71</c:v>
                </c:pt>
                <c:pt idx="3">
                  <c:v>4106407.62</c:v>
                </c:pt>
                <c:pt idx="4">
                  <c:v>3206530.34</c:v>
                </c:pt>
                <c:pt idx="5">
                  <c:v>9627.5499999999993</c:v>
                </c:pt>
                <c:pt idx="6">
                  <c:v>1825528.76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2-4A9E-8434-089EB75B8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876496"/>
        <c:axId val="736475776"/>
      </c:lineChart>
      <c:catAx>
        <c:axId val="7378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6475776"/>
        <c:crosses val="autoZero"/>
        <c:auto val="1"/>
        <c:lblAlgn val="ctr"/>
        <c:lblOffset val="100"/>
        <c:noMultiLvlLbl val="0"/>
      </c:catAx>
      <c:valAx>
        <c:axId val="7364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78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DB97A0-C67B-43AE-A82E-BF2DDEB4E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605118</xdr:colOff>
      <xdr:row>2</xdr:row>
      <xdr:rowOff>8965</xdr:rowOff>
    </xdr:from>
    <xdr:to>
      <xdr:col>13</xdr:col>
      <xdr:colOff>300318</xdr:colOff>
      <xdr:row>17</xdr:row>
      <xdr:rowOff>62753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C74A931-EC6E-41C5-93E8-2A62D5D24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4483</xdr:colOff>
      <xdr:row>18</xdr:row>
      <xdr:rowOff>170330</xdr:rowOff>
    </xdr:from>
    <xdr:to>
      <xdr:col>13</xdr:col>
      <xdr:colOff>309283</xdr:colOff>
      <xdr:row>34</xdr:row>
      <xdr:rowOff>44824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D8FF7C65-96F7-4756-97A8-DC216FD32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11430</xdr:rowOff>
    </xdr:from>
    <xdr:to>
      <xdr:col>12</xdr:col>
      <xdr:colOff>312420</xdr:colOff>
      <xdr:row>16</xdr:row>
      <xdr:rowOff>11430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62960B4-3426-4C4E-8FCB-634D21106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4</xdr:col>
      <xdr:colOff>464820</xdr:colOff>
      <xdr:row>20</xdr:row>
      <xdr:rowOff>179070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5EC1AD4-FB44-4D58-9E91-BBA120F1E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5</xdr:row>
      <xdr:rowOff>171450</xdr:rowOff>
    </xdr:from>
    <xdr:to>
      <xdr:col>13</xdr:col>
      <xdr:colOff>297180</xdr:colOff>
      <xdr:row>20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17A796B-FC9F-43D4-A611-597B1D723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0</xdr:rowOff>
    </xdr:from>
    <xdr:to>
      <xdr:col>11</xdr:col>
      <xdr:colOff>312420</xdr:colOff>
      <xdr:row>15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FCB4A8-B7DA-4BA7-92B1-99DF3AD55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601980</xdr:colOff>
      <xdr:row>16</xdr:row>
      <xdr:rowOff>0</xdr:rowOff>
    </xdr:from>
    <xdr:to>
      <xdr:col>11</xdr:col>
      <xdr:colOff>297180</xdr:colOff>
      <xdr:row>31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C4AEB0B-E745-427F-81D2-8A75735D3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A2CE60-888C-4532-B985-7908B158C3F6}" name="Таблица2" displayName="Таблица2" ref="A1:E26" totalsRowShown="0">
  <autoFilter ref="A1:E26" xr:uid="{1F2E2F09-E8E0-4A5D-9D48-E4E63B87CEB0}"/>
  <sortState ref="A2:D26">
    <sortCondition ref="A1:A26"/>
  </sortState>
  <tableColumns count="5">
    <tableColumn id="1" xr3:uid="{CE911674-536E-4223-8E6D-BFB75CD2F6C6}" name="Year"/>
    <tableColumn id="2" xr3:uid="{3344E027-F6DA-4B7A-9D90-F5C3F8CF6523}" name="Month"/>
    <tableColumn id="3" xr3:uid="{2439F4E6-49C5-47E1-BBD2-8B7CAF221017}" name="Average Revenue (Month)"/>
    <tableColumn id="4" xr3:uid="{AAF08FBC-59EB-4146-96D8-3E3ACCDE0788}" name="Average Revenue (3 months)"/>
    <tableColumn id="6" xr3:uid="{CBFCC0DC-B252-41AA-9CB0-74D1FC800049}" name="Period" dataDxfId="0">
      <calculatedColumnFormula>TEXT(Таблица2[[#This Row],[Year]],"00")&amp;"-"&amp;TEXT(Таблица2[[#This Row],[Month]],"00")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92817-AC6A-4E45-872E-433A1147C89E}" name="Таблица1" displayName="Таблица1" ref="A1:E45" totalsRowShown="0">
  <autoFilter ref="A1:E45" xr:uid="{81D4DE23-653E-453F-B88E-4E4214481BCC}"/>
  <sortState ref="A2:E44">
    <sortCondition descending="1" ref="C1:C44"/>
  </sortState>
  <tableColumns count="5">
    <tableColumn id="1" xr3:uid="{F58AC555-0A80-4305-9A89-FEB975EFDE76}" name="Country"/>
    <tableColumn id="2" xr3:uid="{5235F493-3512-44C3-91EE-2A25F8FD8C00}" name="Country Type"/>
    <tableColumn id="3" xr3:uid="{BE00EF12-9B73-45B9-BB50-E52FD0450D55}" name="Average Revenue"/>
    <tableColumn id="4" xr3:uid="{387A8D6D-E79B-4209-A0B7-4418458EF9A2}" name="Total Revenue"/>
    <tableColumn id="5" xr3:uid="{F4E23795-8168-4C99-B773-A0630C5AC0F5}" name="Rank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6A67BE-7379-471C-9FB6-83740F727B3A}" name="Таблица16" displayName="Таблица16" ref="Q1:U45" totalsRowShown="0">
  <autoFilter ref="Q1:U45" xr:uid="{2B474F05-D0B5-4CE0-BBA9-2EB5883E197C}"/>
  <sortState ref="Q2:U45">
    <sortCondition descending="1" ref="T1:T45"/>
  </sortState>
  <tableColumns count="5">
    <tableColumn id="1" xr3:uid="{6DA6CE76-E195-47D1-981C-3F3B86A91522}" name="Country"/>
    <tableColumn id="2" xr3:uid="{86BEC7CA-F797-483A-A18F-182846196522}" name="Country Type"/>
    <tableColumn id="3" xr3:uid="{2B30881C-DA4C-4C0D-A12F-7327984F9856}" name="Average Revenue"/>
    <tableColumn id="4" xr3:uid="{E4A8A4AE-A70E-4A16-9156-7046A3F53E3F}" name="Total Revenue"/>
    <tableColumn id="5" xr3:uid="{10055341-C591-4EE7-B841-BBBD6CC65731}" name="Rank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BE8E65-BECD-4846-897C-80E7C860E7FA}" name="Таблица3" displayName="Таблица3" ref="A1:C8" totalsRowShown="0">
  <autoFilter ref="A1:C8" xr:uid="{3C7BAF83-7B30-49B1-A2A0-C4EF5D865912}"/>
  <sortState ref="A2:C8">
    <sortCondition ref="A2:A8" customList="Понедельник,Вторник,Среда,Четверг,Пятница,Суббота,Воскресенье"/>
  </sortState>
  <tableColumns count="3">
    <tableColumn id="1" xr3:uid="{B4DFDDA0-A945-4D1D-8FB8-51A1CFEED738}" name="Week Day"/>
    <tableColumn id="2" xr3:uid="{216A0700-F93F-4411-9814-529C27BBBF5C}" name="Average Check per Day"/>
    <tableColumn id="3" xr3:uid="{26424E75-F99A-41BA-B765-EC0BC9779483}" name="Total 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N8" sqref="N8"/>
    </sheetView>
  </sheetViews>
  <sheetFormatPr defaultRowHeight="14.4" x14ac:dyDescent="0.3"/>
  <cols>
    <col min="1" max="1" width="35.77734375" bestFit="1" customWidth="1"/>
    <col min="2" max="2" width="12.6640625" bestFit="1" customWidth="1"/>
  </cols>
  <sheetData>
    <row r="1" spans="1:2" x14ac:dyDescent="0.3">
      <c r="A1" t="s">
        <v>0</v>
      </c>
      <c r="B1" t="s">
        <v>72</v>
      </c>
    </row>
    <row r="2" spans="1:2" x14ac:dyDescent="0.3">
      <c r="A2" t="s">
        <v>1</v>
      </c>
      <c r="B2">
        <v>344563.25</v>
      </c>
    </row>
    <row r="3" spans="1:2" x14ac:dyDescent="0.3">
      <c r="A3" t="s">
        <v>2</v>
      </c>
      <c r="B3">
        <v>266923.55</v>
      </c>
    </row>
    <row r="4" spans="1:2" x14ac:dyDescent="0.3">
      <c r="A4" t="s">
        <v>3</v>
      </c>
      <c r="B4">
        <v>168469.6</v>
      </c>
    </row>
    <row r="5" spans="1:2" x14ac:dyDescent="0.3">
      <c r="A5" t="s">
        <v>4</v>
      </c>
      <c r="B5">
        <v>150935.56</v>
      </c>
    </row>
    <row r="6" spans="1:2" x14ac:dyDescent="0.3">
      <c r="A6" t="s">
        <v>5</v>
      </c>
      <c r="B6">
        <v>149187.04999999999</v>
      </c>
    </row>
    <row r="7" spans="1:2" x14ac:dyDescent="0.3">
      <c r="A7" t="s">
        <v>6</v>
      </c>
      <c r="B7">
        <v>132187.92000000001</v>
      </c>
    </row>
    <row r="8" spans="1:2" x14ac:dyDescent="0.3">
      <c r="A8" t="s">
        <v>7</v>
      </c>
      <c r="B8">
        <v>123141.54</v>
      </c>
    </row>
    <row r="9" spans="1:2" x14ac:dyDescent="0.3">
      <c r="A9" t="s">
        <v>8</v>
      </c>
      <c r="B9">
        <v>85489.91</v>
      </c>
    </row>
    <row r="10" spans="1:2" x14ac:dyDescent="0.3">
      <c r="A10" t="s">
        <v>9</v>
      </c>
      <c r="B10">
        <v>81700.920000000013</v>
      </c>
    </row>
    <row r="11" spans="1:2" x14ac:dyDescent="0.3">
      <c r="A11" t="s">
        <v>10</v>
      </c>
      <c r="B11">
        <v>74448.92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abSelected="1" workbookViewId="0">
      <selection activeCell="K9" sqref="K9"/>
    </sheetView>
  </sheetViews>
  <sheetFormatPr defaultRowHeight="14.4" x14ac:dyDescent="0.3"/>
  <cols>
    <col min="3" max="3" width="25.109375" customWidth="1"/>
    <col min="4" max="4" width="27.21875" customWidth="1"/>
  </cols>
  <sheetData>
    <row r="1" spans="1:5" x14ac:dyDescent="0.3">
      <c r="A1" t="s">
        <v>11</v>
      </c>
      <c r="B1" t="s">
        <v>12</v>
      </c>
      <c r="C1" t="s">
        <v>80</v>
      </c>
      <c r="D1" t="s">
        <v>79</v>
      </c>
      <c r="E1" t="s">
        <v>83</v>
      </c>
    </row>
    <row r="2" spans="1:5" x14ac:dyDescent="0.3">
      <c r="A2">
        <v>2009</v>
      </c>
      <c r="B2">
        <v>12</v>
      </c>
      <c r="C2">
        <v>413.74</v>
      </c>
      <c r="D2">
        <v>413.74</v>
      </c>
      <c r="E2" t="str">
        <f>TEXT(Таблица2[[#This Row],[Year]],"00")&amp;"-"&amp;TEXT(Таблица2[[#This Row],[Month]],"00")</f>
        <v>2009-12</v>
      </c>
    </row>
    <row r="3" spans="1:5" x14ac:dyDescent="0.3">
      <c r="A3">
        <v>2010</v>
      </c>
      <c r="B3">
        <v>1</v>
      </c>
      <c r="C3">
        <v>478.13</v>
      </c>
      <c r="D3">
        <v>445.94</v>
      </c>
      <c r="E3" t="str">
        <f>TEXT(Таблица2[[#This Row],[Year]],"00")&amp;"-"&amp;TEXT(Таблица2[[#This Row],[Month]],"00")</f>
        <v>2010-01</v>
      </c>
    </row>
    <row r="4" spans="1:5" x14ac:dyDescent="0.3">
      <c r="A4">
        <v>2010</v>
      </c>
      <c r="B4">
        <v>2</v>
      </c>
      <c r="C4">
        <v>316.14999999999998</v>
      </c>
      <c r="D4">
        <v>402.67</v>
      </c>
      <c r="E4" t="str">
        <f>TEXT(Таблица2[[#This Row],[Year]],"00")&amp;"-"&amp;TEXT(Таблица2[[#This Row],[Month]],"00")</f>
        <v>2010-02</v>
      </c>
    </row>
    <row r="5" spans="1:5" x14ac:dyDescent="0.3">
      <c r="A5">
        <v>2010</v>
      </c>
      <c r="B5">
        <v>3</v>
      </c>
      <c r="C5">
        <v>394.51</v>
      </c>
      <c r="D5">
        <v>396.26</v>
      </c>
      <c r="E5" t="str">
        <f>TEXT(Таблица2[[#This Row],[Year]],"00")&amp;"-"&amp;TEXT(Таблица2[[#This Row],[Month]],"00")</f>
        <v>2010-03</v>
      </c>
    </row>
    <row r="6" spans="1:5" x14ac:dyDescent="0.3">
      <c r="A6">
        <v>2010</v>
      </c>
      <c r="B6">
        <v>4</v>
      </c>
      <c r="C6">
        <v>415.14</v>
      </c>
      <c r="D6">
        <v>375.26</v>
      </c>
      <c r="E6" t="str">
        <f>TEXT(Таблица2[[#This Row],[Year]],"00")&amp;"-"&amp;TEXT(Таблица2[[#This Row],[Month]],"00")</f>
        <v>2010-04</v>
      </c>
    </row>
    <row r="7" spans="1:5" x14ac:dyDescent="0.3">
      <c r="A7">
        <v>2010</v>
      </c>
      <c r="B7">
        <v>5</v>
      </c>
      <c r="C7">
        <v>323.27999999999997</v>
      </c>
      <c r="D7">
        <v>377.64</v>
      </c>
      <c r="E7" t="str">
        <f>TEXT(Таблица2[[#This Row],[Year]],"00")&amp;"-"&amp;TEXT(Таблица2[[#This Row],[Month]],"00")</f>
        <v>2010-05</v>
      </c>
    </row>
    <row r="8" spans="1:5" x14ac:dyDescent="0.3">
      <c r="A8">
        <v>2010</v>
      </c>
      <c r="B8">
        <v>6</v>
      </c>
      <c r="C8">
        <v>382.9</v>
      </c>
      <c r="D8">
        <v>373.77</v>
      </c>
      <c r="E8" t="str">
        <f>TEXT(Таблица2[[#This Row],[Year]],"00")&amp;"-"&amp;TEXT(Таблица2[[#This Row],[Month]],"00")</f>
        <v>2010-06</v>
      </c>
    </row>
    <row r="9" spans="1:5" x14ac:dyDescent="0.3">
      <c r="A9">
        <v>2010</v>
      </c>
      <c r="B9">
        <v>7</v>
      </c>
      <c r="C9">
        <v>383.91</v>
      </c>
      <c r="D9">
        <v>363.36</v>
      </c>
      <c r="E9" t="str">
        <f>TEXT(Таблица2[[#This Row],[Year]],"00")&amp;"-"&amp;TEXT(Таблица2[[#This Row],[Month]],"00")</f>
        <v>2010-07</v>
      </c>
    </row>
    <row r="10" spans="1:5" x14ac:dyDescent="0.3">
      <c r="A10">
        <v>2010</v>
      </c>
      <c r="B10">
        <v>8</v>
      </c>
      <c r="C10">
        <v>427.49</v>
      </c>
      <c r="D10">
        <v>398.1</v>
      </c>
      <c r="E10" t="str">
        <f>TEXT(Таблица2[[#This Row],[Year]],"00")&amp;"-"&amp;TEXT(Таблица2[[#This Row],[Month]],"00")</f>
        <v>2010-08</v>
      </c>
    </row>
    <row r="11" spans="1:5" x14ac:dyDescent="0.3">
      <c r="A11">
        <v>2010</v>
      </c>
      <c r="B11">
        <v>9</v>
      </c>
      <c r="C11">
        <v>445.13</v>
      </c>
      <c r="D11">
        <v>418.84</v>
      </c>
      <c r="E11" t="str">
        <f>TEXT(Таблица2[[#This Row],[Year]],"00")&amp;"-"&amp;TEXT(Таблица2[[#This Row],[Month]],"00")</f>
        <v>2010-09</v>
      </c>
    </row>
    <row r="12" spans="1:5" x14ac:dyDescent="0.3">
      <c r="A12">
        <v>2010</v>
      </c>
      <c r="B12">
        <v>10</v>
      </c>
      <c r="C12">
        <v>449.55</v>
      </c>
      <c r="D12">
        <v>440.72</v>
      </c>
      <c r="E12" t="str">
        <f>TEXT(Таблица2[[#This Row],[Year]],"00")&amp;"-"&amp;TEXT(Таблица2[[#This Row],[Month]],"00")</f>
        <v>2010-10</v>
      </c>
    </row>
    <row r="13" spans="1:5" x14ac:dyDescent="0.3">
      <c r="A13">
        <v>2010</v>
      </c>
      <c r="B13">
        <v>11</v>
      </c>
      <c r="C13">
        <v>468.22</v>
      </c>
      <c r="D13">
        <v>454.3</v>
      </c>
      <c r="E13" t="str">
        <f>TEXT(Таблица2[[#This Row],[Year]],"00")&amp;"-"&amp;TEXT(Таблица2[[#This Row],[Month]],"00")</f>
        <v>2010-11</v>
      </c>
    </row>
    <row r="14" spans="1:5" x14ac:dyDescent="0.3">
      <c r="A14">
        <v>2010</v>
      </c>
      <c r="B14">
        <v>12</v>
      </c>
      <c r="C14">
        <v>700.81</v>
      </c>
      <c r="D14">
        <v>539.53</v>
      </c>
      <c r="E14" t="str">
        <f>TEXT(Таблица2[[#This Row],[Year]],"00")&amp;"-"&amp;TEXT(Таблица2[[#This Row],[Month]],"00")</f>
        <v>2010-12</v>
      </c>
    </row>
    <row r="15" spans="1:5" x14ac:dyDescent="0.3">
      <c r="A15">
        <v>2011</v>
      </c>
      <c r="B15">
        <v>1</v>
      </c>
      <c r="C15">
        <v>556.71</v>
      </c>
      <c r="D15">
        <v>575.24</v>
      </c>
      <c r="E15" t="str">
        <f>TEXT(Таблица2[[#This Row],[Year]],"00")&amp;"-"&amp;TEXT(Таблица2[[#This Row],[Month]],"00")</f>
        <v>2011-01</v>
      </c>
    </row>
    <row r="16" spans="1:5" x14ac:dyDescent="0.3">
      <c r="A16">
        <v>2011</v>
      </c>
      <c r="B16">
        <v>2</v>
      </c>
      <c r="C16">
        <v>434.63</v>
      </c>
      <c r="D16">
        <v>564.04999999999995</v>
      </c>
      <c r="E16" t="str">
        <f>TEXT(Таблица2[[#This Row],[Year]],"00")&amp;"-"&amp;TEXT(Таблица2[[#This Row],[Month]],"00")</f>
        <v>2011-02</v>
      </c>
    </row>
    <row r="17" spans="1:5" x14ac:dyDescent="0.3">
      <c r="A17">
        <v>2011</v>
      </c>
      <c r="B17">
        <v>3</v>
      </c>
      <c r="C17">
        <v>418.15</v>
      </c>
      <c r="D17">
        <v>469.83</v>
      </c>
      <c r="E17" t="str">
        <f>TEXT(Таблица2[[#This Row],[Year]],"00")&amp;"-"&amp;TEXT(Таблица2[[#This Row],[Month]],"00")</f>
        <v>2011-03</v>
      </c>
    </row>
    <row r="18" spans="1:5" x14ac:dyDescent="0.3">
      <c r="A18">
        <v>2011</v>
      </c>
      <c r="B18">
        <v>4</v>
      </c>
      <c r="C18">
        <v>345.33</v>
      </c>
      <c r="D18">
        <v>399.37</v>
      </c>
      <c r="E18" t="str">
        <f>TEXT(Таблица2[[#This Row],[Year]],"00")&amp;"-"&amp;TEXT(Таблица2[[#This Row],[Month]],"00")</f>
        <v>2011-04</v>
      </c>
    </row>
    <row r="19" spans="1:5" x14ac:dyDescent="0.3">
      <c r="A19">
        <v>2011</v>
      </c>
      <c r="B19">
        <v>5</v>
      </c>
      <c r="C19">
        <v>403.03</v>
      </c>
      <c r="D19">
        <v>388.84</v>
      </c>
      <c r="E19" t="str">
        <f>TEXT(Таблица2[[#This Row],[Year]],"00")&amp;"-"&amp;TEXT(Таблица2[[#This Row],[Month]],"00")</f>
        <v>2011-05</v>
      </c>
    </row>
    <row r="20" spans="1:5" x14ac:dyDescent="0.3">
      <c r="A20">
        <v>2011</v>
      </c>
      <c r="B20">
        <v>6</v>
      </c>
      <c r="C20">
        <v>440.48</v>
      </c>
      <c r="D20">
        <v>396.28</v>
      </c>
      <c r="E20" t="str">
        <f>TEXT(Таблица2[[#This Row],[Year]],"00")&amp;"-"&amp;TEXT(Таблица2[[#This Row],[Month]],"00")</f>
        <v>2011-06</v>
      </c>
    </row>
    <row r="21" spans="1:5" x14ac:dyDescent="0.3">
      <c r="A21">
        <v>2011</v>
      </c>
      <c r="B21">
        <v>7</v>
      </c>
      <c r="C21">
        <v>422.24</v>
      </c>
      <c r="D21">
        <v>421.92</v>
      </c>
      <c r="E21" t="str">
        <f>TEXT(Таблица2[[#This Row],[Year]],"00")&amp;"-"&amp;TEXT(Таблица2[[#This Row],[Month]],"00")</f>
        <v>2011-07</v>
      </c>
    </row>
    <row r="22" spans="1:5" x14ac:dyDescent="0.3">
      <c r="A22">
        <v>2011</v>
      </c>
      <c r="B22">
        <v>8</v>
      </c>
      <c r="C22">
        <v>504.98</v>
      </c>
      <c r="D22">
        <v>455.9</v>
      </c>
      <c r="E22" t="str">
        <f>TEXT(Таблица2[[#This Row],[Year]],"00")&amp;"-"&amp;TEXT(Таблица2[[#This Row],[Month]],"00")</f>
        <v>2011-08</v>
      </c>
    </row>
    <row r="23" spans="1:5" x14ac:dyDescent="0.3">
      <c r="A23">
        <v>2011</v>
      </c>
      <c r="B23">
        <v>9</v>
      </c>
      <c r="C23">
        <v>521.48</v>
      </c>
      <c r="D23">
        <v>482.9</v>
      </c>
      <c r="E23" t="str">
        <f>TEXT(Таблица2[[#This Row],[Year]],"00")&amp;"-"&amp;TEXT(Таблица2[[#This Row],[Month]],"00")</f>
        <v>2011-09</v>
      </c>
    </row>
    <row r="24" spans="1:5" x14ac:dyDescent="0.3">
      <c r="A24">
        <v>2011</v>
      </c>
      <c r="B24">
        <v>10</v>
      </c>
      <c r="C24">
        <v>493.17</v>
      </c>
      <c r="D24">
        <v>506.54</v>
      </c>
      <c r="E24" t="str">
        <f>TEXT(Таблица2[[#This Row],[Year]],"00")&amp;"-"&amp;TEXT(Таблица2[[#This Row],[Month]],"00")</f>
        <v>2011-10</v>
      </c>
    </row>
    <row r="25" spans="1:5" x14ac:dyDescent="0.3">
      <c r="A25">
        <v>2011</v>
      </c>
      <c r="B25">
        <v>11</v>
      </c>
      <c r="C25">
        <v>485.4</v>
      </c>
      <c r="D25">
        <v>500.01</v>
      </c>
      <c r="E25" t="str">
        <f>TEXT(Таблица2[[#This Row],[Year]],"00")&amp;"-"&amp;TEXT(Таблица2[[#This Row],[Month]],"00")</f>
        <v>2011-11</v>
      </c>
    </row>
    <row r="26" spans="1:5" x14ac:dyDescent="0.3">
      <c r="A26">
        <v>2011</v>
      </c>
      <c r="B26">
        <v>12</v>
      </c>
      <c r="C26">
        <v>710.14</v>
      </c>
      <c r="D26">
        <v>562.9</v>
      </c>
      <c r="E26" t="str">
        <f>TEXT(Таблица2[[#This Row],[Year]],"00")&amp;"-"&amp;TEXT(Таблица2[[#This Row],[Month]],"00")</f>
        <v>2011-12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5"/>
  <sheetViews>
    <sheetView topLeftCell="B1" zoomScale="85" zoomScaleNormal="85" workbookViewId="0">
      <selection activeCell="O18" sqref="O18"/>
    </sheetView>
  </sheetViews>
  <sheetFormatPr defaultRowHeight="14.4" x14ac:dyDescent="0.3"/>
  <cols>
    <col min="1" max="1" width="18.77734375" bestFit="1" customWidth="1"/>
    <col min="2" max="2" width="14.21875" customWidth="1"/>
    <col min="3" max="3" width="17.5546875" customWidth="1"/>
    <col min="4" max="4" width="14.88671875" customWidth="1"/>
    <col min="5" max="5" width="12.109375" bestFit="1" customWidth="1"/>
    <col min="17" max="17" width="19.21875" bestFit="1" customWidth="1"/>
    <col min="18" max="18" width="15.5546875" bestFit="1" customWidth="1"/>
    <col min="19" max="19" width="19.21875" bestFit="1" customWidth="1"/>
    <col min="20" max="20" width="16.44140625" bestFit="1" customWidth="1"/>
    <col min="21" max="21" width="8" bestFit="1" customWidth="1"/>
  </cols>
  <sheetData>
    <row r="1" spans="1:21" x14ac:dyDescent="0.3">
      <c r="A1" t="s">
        <v>75</v>
      </c>
      <c r="B1" t="s">
        <v>76</v>
      </c>
      <c r="C1" t="s">
        <v>78</v>
      </c>
      <c r="D1" t="s">
        <v>72</v>
      </c>
      <c r="E1" t="s">
        <v>77</v>
      </c>
      <c r="Q1" t="s">
        <v>75</v>
      </c>
      <c r="R1" t="s">
        <v>76</v>
      </c>
      <c r="S1" t="s">
        <v>78</v>
      </c>
      <c r="T1" t="s">
        <v>72</v>
      </c>
      <c r="U1" t="s">
        <v>77</v>
      </c>
    </row>
    <row r="2" spans="1:21" x14ac:dyDescent="0.3">
      <c r="A2" t="s">
        <v>16</v>
      </c>
      <c r="B2" t="s">
        <v>14</v>
      </c>
      <c r="C2">
        <v>110.26</v>
      </c>
      <c r="D2">
        <v>549952.66</v>
      </c>
      <c r="E2">
        <v>3</v>
      </c>
      <c r="Q2" t="s">
        <v>13</v>
      </c>
      <c r="R2" t="s">
        <v>14</v>
      </c>
      <c r="S2">
        <v>17.88</v>
      </c>
      <c r="T2">
        <v>17179285.199999999</v>
      </c>
      <c r="U2">
        <v>1</v>
      </c>
    </row>
    <row r="3" spans="1:21" x14ac:dyDescent="0.3">
      <c r="A3" t="s">
        <v>26</v>
      </c>
      <c r="B3" t="s">
        <v>14</v>
      </c>
      <c r="C3">
        <v>97.19</v>
      </c>
      <c r="D3">
        <v>47138.39</v>
      </c>
      <c r="E3">
        <v>13</v>
      </c>
      <c r="Q3" t="s">
        <v>15</v>
      </c>
      <c r="R3" t="s">
        <v>14</v>
      </c>
      <c r="S3">
        <v>36.65</v>
      </c>
      <c r="T3">
        <v>625298.07999999996</v>
      </c>
      <c r="U3">
        <v>2</v>
      </c>
    </row>
    <row r="4" spans="1:21" x14ac:dyDescent="0.3">
      <c r="A4" t="s">
        <v>19</v>
      </c>
      <c r="B4" t="s">
        <v>14</v>
      </c>
      <c r="C4">
        <v>93.18</v>
      </c>
      <c r="D4">
        <v>168466.81</v>
      </c>
      <c r="E4">
        <v>6</v>
      </c>
      <c r="Q4" t="s">
        <v>16</v>
      </c>
      <c r="R4" t="s">
        <v>14</v>
      </c>
      <c r="S4">
        <v>110.26</v>
      </c>
      <c r="T4">
        <v>549952.66</v>
      </c>
      <c r="U4">
        <v>3</v>
      </c>
    </row>
    <row r="5" spans="1:21" x14ac:dyDescent="0.3">
      <c r="A5" t="s">
        <v>23</v>
      </c>
      <c r="B5" t="s">
        <v>14</v>
      </c>
      <c r="C5">
        <v>88.46</v>
      </c>
      <c r="D5">
        <v>68560.19</v>
      </c>
      <c r="E5">
        <v>10</v>
      </c>
      <c r="Q5" t="s">
        <v>17</v>
      </c>
      <c r="R5" t="s">
        <v>14</v>
      </c>
      <c r="S5">
        <v>24.18</v>
      </c>
      <c r="T5">
        <v>387426.05</v>
      </c>
      <c r="U5">
        <v>4</v>
      </c>
    </row>
    <row r="6" spans="1:21" x14ac:dyDescent="0.3">
      <c r="A6" t="s">
        <v>22</v>
      </c>
      <c r="B6" t="s">
        <v>14</v>
      </c>
      <c r="C6">
        <v>67.099999999999994</v>
      </c>
      <c r="D6">
        <v>86353.04</v>
      </c>
      <c r="E6">
        <v>9</v>
      </c>
      <c r="Q6" t="s">
        <v>18</v>
      </c>
      <c r="R6" t="s">
        <v>14</v>
      </c>
      <c r="S6">
        <v>23.51</v>
      </c>
      <c r="T6">
        <v>315336.34999999998</v>
      </c>
      <c r="U6">
        <v>5</v>
      </c>
    </row>
    <row r="7" spans="1:21" x14ac:dyDescent="0.3">
      <c r="A7" t="s">
        <v>48</v>
      </c>
      <c r="B7" t="s">
        <v>14</v>
      </c>
      <c r="C7">
        <v>40.4</v>
      </c>
      <c r="D7">
        <v>3070.54</v>
      </c>
      <c r="E7">
        <v>34</v>
      </c>
      <c r="Q7" t="s">
        <v>19</v>
      </c>
      <c r="R7" t="s">
        <v>14</v>
      </c>
      <c r="S7">
        <v>93.18</v>
      </c>
      <c r="T7">
        <v>168466.81</v>
      </c>
      <c r="U7">
        <v>6</v>
      </c>
    </row>
    <row r="8" spans="1:21" x14ac:dyDescent="0.3">
      <c r="A8" t="s">
        <v>36</v>
      </c>
      <c r="B8" t="s">
        <v>14</v>
      </c>
      <c r="C8">
        <v>39.630000000000003</v>
      </c>
      <c r="D8">
        <v>13158.16</v>
      </c>
      <c r="E8">
        <v>22</v>
      </c>
      <c r="Q8" t="s">
        <v>20</v>
      </c>
      <c r="R8" t="s">
        <v>14</v>
      </c>
      <c r="S8">
        <v>27.26</v>
      </c>
      <c r="T8">
        <v>98612.79</v>
      </c>
      <c r="U8">
        <v>7</v>
      </c>
    </row>
    <row r="9" spans="1:21" x14ac:dyDescent="0.3">
      <c r="A9" t="s">
        <v>35</v>
      </c>
      <c r="B9" t="s">
        <v>28</v>
      </c>
      <c r="C9">
        <v>39.53</v>
      </c>
      <c r="D9">
        <v>13875.25</v>
      </c>
      <c r="E9">
        <v>21</v>
      </c>
      <c r="Q9" t="s">
        <v>21</v>
      </c>
      <c r="R9" t="s">
        <v>14</v>
      </c>
      <c r="S9">
        <v>30.58</v>
      </c>
      <c r="T9">
        <v>94198.89</v>
      </c>
      <c r="U9">
        <v>8</v>
      </c>
    </row>
    <row r="10" spans="1:21" x14ac:dyDescent="0.3">
      <c r="A10" t="s">
        <v>51</v>
      </c>
      <c r="B10" t="s">
        <v>28</v>
      </c>
      <c r="C10">
        <v>36.86</v>
      </c>
      <c r="D10">
        <v>1253.1400000000001</v>
      </c>
      <c r="E10">
        <v>37</v>
      </c>
      <c r="Q10" t="s">
        <v>22</v>
      </c>
      <c r="R10" t="s">
        <v>14</v>
      </c>
      <c r="S10">
        <v>67.099999999999994</v>
      </c>
      <c r="T10">
        <v>86353.04</v>
      </c>
      <c r="U10">
        <v>9</v>
      </c>
    </row>
    <row r="11" spans="1:21" x14ac:dyDescent="0.3">
      <c r="A11" t="s">
        <v>15</v>
      </c>
      <c r="B11" t="s">
        <v>14</v>
      </c>
      <c r="C11">
        <v>36.65</v>
      </c>
      <c r="D11">
        <v>625298.07999999996</v>
      </c>
      <c r="E11">
        <v>2</v>
      </c>
      <c r="Q11" t="s">
        <v>23</v>
      </c>
      <c r="R11" t="s">
        <v>14</v>
      </c>
      <c r="S11">
        <v>88.46</v>
      </c>
      <c r="T11">
        <v>68560.19</v>
      </c>
      <c r="U11">
        <v>10</v>
      </c>
    </row>
    <row r="12" spans="1:21" x14ac:dyDescent="0.3">
      <c r="A12" t="s">
        <v>42</v>
      </c>
      <c r="B12" t="s">
        <v>14</v>
      </c>
      <c r="C12">
        <v>34.17</v>
      </c>
      <c r="D12">
        <v>6321.69</v>
      </c>
      <c r="E12">
        <v>28</v>
      </c>
      <c r="Q12" t="s">
        <v>24</v>
      </c>
      <c r="R12" t="s">
        <v>14</v>
      </c>
      <c r="S12">
        <v>19.600000000000001</v>
      </c>
      <c r="T12">
        <v>57251.37</v>
      </c>
      <c r="U12">
        <v>11</v>
      </c>
    </row>
    <row r="13" spans="1:21" x14ac:dyDescent="0.3">
      <c r="A13" t="s">
        <v>49</v>
      </c>
      <c r="B13" t="s">
        <v>14</v>
      </c>
      <c r="C13">
        <v>33.43</v>
      </c>
      <c r="D13">
        <v>1905.58</v>
      </c>
      <c r="E13">
        <v>35</v>
      </c>
      <c r="Q13" t="s">
        <v>25</v>
      </c>
      <c r="R13" t="s">
        <v>14</v>
      </c>
      <c r="S13">
        <v>19.55</v>
      </c>
      <c r="T13">
        <v>48801.54</v>
      </c>
      <c r="U13">
        <v>12</v>
      </c>
    </row>
    <row r="14" spans="1:21" x14ac:dyDescent="0.3">
      <c r="A14" t="s">
        <v>54</v>
      </c>
      <c r="B14" t="s">
        <v>14</v>
      </c>
      <c r="C14">
        <v>32.78</v>
      </c>
      <c r="D14">
        <v>786.74</v>
      </c>
      <c r="E14">
        <v>40</v>
      </c>
      <c r="Q14" t="s">
        <v>26</v>
      </c>
      <c r="R14" t="s">
        <v>14</v>
      </c>
      <c r="S14">
        <v>97.19</v>
      </c>
      <c r="T14">
        <v>47138.39</v>
      </c>
      <c r="U14">
        <v>13</v>
      </c>
    </row>
    <row r="15" spans="1:21" x14ac:dyDescent="0.3">
      <c r="A15" t="s">
        <v>37</v>
      </c>
      <c r="B15" t="s">
        <v>14</v>
      </c>
      <c r="C15">
        <v>30.72</v>
      </c>
      <c r="D15">
        <v>11334.66</v>
      </c>
      <c r="E15">
        <v>23</v>
      </c>
      <c r="Q15" t="s">
        <v>27</v>
      </c>
      <c r="R15" t="s">
        <v>28</v>
      </c>
      <c r="S15">
        <v>28.42</v>
      </c>
      <c r="T15">
        <v>44299.76</v>
      </c>
      <c r="U15">
        <v>14</v>
      </c>
    </row>
    <row r="16" spans="1:21" x14ac:dyDescent="0.3">
      <c r="A16" t="s">
        <v>21</v>
      </c>
      <c r="B16" t="s">
        <v>14</v>
      </c>
      <c r="C16">
        <v>30.58</v>
      </c>
      <c r="D16">
        <v>94198.89</v>
      </c>
      <c r="E16">
        <v>8</v>
      </c>
      <c r="Q16" t="s">
        <v>29</v>
      </c>
      <c r="R16" t="s">
        <v>14</v>
      </c>
      <c r="S16">
        <v>29.98</v>
      </c>
      <c r="T16">
        <v>42237.53</v>
      </c>
      <c r="U16">
        <v>15</v>
      </c>
    </row>
    <row r="17" spans="1:21" x14ac:dyDescent="0.3">
      <c r="A17" t="s">
        <v>29</v>
      </c>
      <c r="B17" t="s">
        <v>14</v>
      </c>
      <c r="C17">
        <v>29.98</v>
      </c>
      <c r="D17">
        <v>42237.53</v>
      </c>
      <c r="E17">
        <v>15</v>
      </c>
      <c r="Q17" t="s">
        <v>30</v>
      </c>
      <c r="R17" t="s">
        <v>14</v>
      </c>
      <c r="S17">
        <v>20.420000000000002</v>
      </c>
      <c r="T17">
        <v>29323.75</v>
      </c>
      <c r="U17">
        <v>16</v>
      </c>
    </row>
    <row r="18" spans="1:21" x14ac:dyDescent="0.3">
      <c r="A18" t="s">
        <v>34</v>
      </c>
      <c r="B18" t="s">
        <v>14</v>
      </c>
      <c r="C18">
        <v>28.65</v>
      </c>
      <c r="D18">
        <v>18711.189999999999</v>
      </c>
      <c r="E18">
        <v>20</v>
      </c>
      <c r="Q18" t="s">
        <v>31</v>
      </c>
      <c r="R18" t="s">
        <v>14</v>
      </c>
      <c r="S18">
        <v>25.57</v>
      </c>
      <c r="T18">
        <v>25162.25</v>
      </c>
      <c r="U18">
        <v>17</v>
      </c>
    </row>
    <row r="19" spans="1:21" x14ac:dyDescent="0.3">
      <c r="A19" t="s">
        <v>27</v>
      </c>
      <c r="B19" t="s">
        <v>28</v>
      </c>
      <c r="C19">
        <v>28.42</v>
      </c>
      <c r="D19">
        <v>44299.76</v>
      </c>
      <c r="E19">
        <v>14</v>
      </c>
      <c r="Q19" t="s">
        <v>32</v>
      </c>
      <c r="R19" t="s">
        <v>14</v>
      </c>
      <c r="S19">
        <v>21.39</v>
      </c>
      <c r="T19">
        <v>24614.44</v>
      </c>
      <c r="U19">
        <v>18</v>
      </c>
    </row>
    <row r="20" spans="1:21" x14ac:dyDescent="0.3">
      <c r="A20" t="s">
        <v>20</v>
      </c>
      <c r="B20" t="s">
        <v>14</v>
      </c>
      <c r="C20">
        <v>27.26</v>
      </c>
      <c r="D20">
        <v>98612.79</v>
      </c>
      <c r="E20">
        <v>7</v>
      </c>
      <c r="Q20" t="s">
        <v>33</v>
      </c>
      <c r="R20" t="s">
        <v>14</v>
      </c>
      <c r="S20">
        <v>22.3</v>
      </c>
      <c r="T20">
        <v>19714.41</v>
      </c>
      <c r="U20">
        <v>19</v>
      </c>
    </row>
    <row r="21" spans="1:21" x14ac:dyDescent="0.3">
      <c r="A21" t="s">
        <v>31</v>
      </c>
      <c r="B21" t="s">
        <v>14</v>
      </c>
      <c r="C21">
        <v>25.57</v>
      </c>
      <c r="D21">
        <v>25162.25</v>
      </c>
      <c r="E21">
        <v>17</v>
      </c>
      <c r="Q21" t="s">
        <v>34</v>
      </c>
      <c r="R21" t="s">
        <v>14</v>
      </c>
      <c r="S21">
        <v>28.65</v>
      </c>
      <c r="T21">
        <v>18711.189999999999</v>
      </c>
      <c r="U21">
        <v>20</v>
      </c>
    </row>
    <row r="22" spans="1:21" x14ac:dyDescent="0.3">
      <c r="A22" t="s">
        <v>47</v>
      </c>
      <c r="B22" t="s">
        <v>14</v>
      </c>
      <c r="C22">
        <v>25.08</v>
      </c>
      <c r="D22">
        <v>3109.79</v>
      </c>
      <c r="E22">
        <v>33</v>
      </c>
      <c r="Q22" t="s">
        <v>35</v>
      </c>
      <c r="R22" t="s">
        <v>28</v>
      </c>
      <c r="S22">
        <v>39.53</v>
      </c>
      <c r="T22">
        <v>13875.25</v>
      </c>
      <c r="U22">
        <v>21</v>
      </c>
    </row>
    <row r="23" spans="1:21" x14ac:dyDescent="0.3">
      <c r="A23" t="s">
        <v>17</v>
      </c>
      <c r="B23" t="s">
        <v>14</v>
      </c>
      <c r="C23">
        <v>24.18</v>
      </c>
      <c r="D23">
        <v>387426.05</v>
      </c>
      <c r="E23">
        <v>4</v>
      </c>
      <c r="Q23" t="s">
        <v>36</v>
      </c>
      <c r="R23" t="s">
        <v>14</v>
      </c>
      <c r="S23">
        <v>39.630000000000003</v>
      </c>
      <c r="T23">
        <v>13158.16</v>
      </c>
      <c r="U23">
        <v>22</v>
      </c>
    </row>
    <row r="24" spans="1:21" x14ac:dyDescent="0.3">
      <c r="A24" t="s">
        <v>18</v>
      </c>
      <c r="B24" t="s">
        <v>14</v>
      </c>
      <c r="C24">
        <v>23.51</v>
      </c>
      <c r="D24">
        <v>315336.34999999998</v>
      </c>
      <c r="E24">
        <v>5</v>
      </c>
      <c r="Q24" t="s">
        <v>37</v>
      </c>
      <c r="R24" t="s">
        <v>14</v>
      </c>
      <c r="S24">
        <v>30.72</v>
      </c>
      <c r="T24">
        <v>11334.66</v>
      </c>
      <c r="U24">
        <v>23</v>
      </c>
    </row>
    <row r="25" spans="1:21" x14ac:dyDescent="0.3">
      <c r="A25" t="s">
        <v>33</v>
      </c>
      <c r="B25" t="s">
        <v>14</v>
      </c>
      <c r="C25">
        <v>22.3</v>
      </c>
      <c r="D25">
        <v>19714.41</v>
      </c>
      <c r="E25">
        <v>19</v>
      </c>
      <c r="Q25" t="s">
        <v>38</v>
      </c>
      <c r="R25" t="s">
        <v>28</v>
      </c>
      <c r="S25">
        <v>14.54</v>
      </c>
      <c r="T25">
        <v>10936.01</v>
      </c>
      <c r="U25">
        <v>24</v>
      </c>
    </row>
    <row r="26" spans="1:21" x14ac:dyDescent="0.3">
      <c r="A26" t="s">
        <v>43</v>
      </c>
      <c r="B26" t="s">
        <v>14</v>
      </c>
      <c r="C26">
        <v>22.27</v>
      </c>
      <c r="D26">
        <v>5633.32</v>
      </c>
      <c r="E26">
        <v>29</v>
      </c>
      <c r="Q26" t="s">
        <v>39</v>
      </c>
      <c r="R26" t="s">
        <v>14</v>
      </c>
      <c r="S26">
        <v>20.67</v>
      </c>
      <c r="T26">
        <v>10355.35</v>
      </c>
      <c r="U26">
        <v>25</v>
      </c>
    </row>
    <row r="27" spans="1:21" x14ac:dyDescent="0.3">
      <c r="A27" t="s">
        <v>40</v>
      </c>
      <c r="B27" t="s">
        <v>14</v>
      </c>
      <c r="C27">
        <v>22.24</v>
      </c>
      <c r="D27">
        <v>10273.23</v>
      </c>
      <c r="E27">
        <v>26</v>
      </c>
      <c r="Q27" t="s">
        <v>40</v>
      </c>
      <c r="R27" t="s">
        <v>14</v>
      </c>
      <c r="S27">
        <v>22.24</v>
      </c>
      <c r="T27">
        <v>10273.23</v>
      </c>
      <c r="U27">
        <v>26</v>
      </c>
    </row>
    <row r="28" spans="1:21" x14ac:dyDescent="0.3">
      <c r="A28" t="s">
        <v>32</v>
      </c>
      <c r="B28" t="s">
        <v>14</v>
      </c>
      <c r="C28">
        <v>21.39</v>
      </c>
      <c r="D28">
        <v>24614.44</v>
      </c>
      <c r="E28">
        <v>18</v>
      </c>
      <c r="Q28" t="s">
        <v>41</v>
      </c>
      <c r="R28" t="s">
        <v>14</v>
      </c>
      <c r="S28">
        <v>19.600000000000001</v>
      </c>
      <c r="T28">
        <v>7920.01</v>
      </c>
      <c r="U28">
        <v>27</v>
      </c>
    </row>
    <row r="29" spans="1:21" x14ac:dyDescent="0.3">
      <c r="A29" t="s">
        <v>53</v>
      </c>
      <c r="B29" t="s">
        <v>14</v>
      </c>
      <c r="C29">
        <v>21.1</v>
      </c>
      <c r="D29">
        <v>1118.51</v>
      </c>
      <c r="E29">
        <v>39</v>
      </c>
      <c r="Q29" t="s">
        <v>42</v>
      </c>
      <c r="R29" t="s">
        <v>14</v>
      </c>
      <c r="S29">
        <v>34.17</v>
      </c>
      <c r="T29">
        <v>6321.69</v>
      </c>
      <c r="U29">
        <v>28</v>
      </c>
    </row>
    <row r="30" spans="1:21" x14ac:dyDescent="0.3">
      <c r="A30" t="s">
        <v>39</v>
      </c>
      <c r="B30" t="s">
        <v>14</v>
      </c>
      <c r="C30">
        <v>20.67</v>
      </c>
      <c r="D30">
        <v>10355.35</v>
      </c>
      <c r="E30">
        <v>25</v>
      </c>
      <c r="Q30" t="s">
        <v>43</v>
      </c>
      <c r="R30" t="s">
        <v>14</v>
      </c>
      <c r="S30">
        <v>22.27</v>
      </c>
      <c r="T30">
        <v>5633.32</v>
      </c>
      <c r="U30">
        <v>29</v>
      </c>
    </row>
    <row r="31" spans="1:21" x14ac:dyDescent="0.3">
      <c r="A31" t="s">
        <v>30</v>
      </c>
      <c r="B31" t="s">
        <v>14</v>
      </c>
      <c r="C31">
        <v>20.420000000000002</v>
      </c>
      <c r="D31">
        <v>29323.75</v>
      </c>
      <c r="E31">
        <v>16</v>
      </c>
      <c r="Q31" t="s">
        <v>44</v>
      </c>
      <c r="R31" t="s">
        <v>14</v>
      </c>
      <c r="S31">
        <v>17.170000000000002</v>
      </c>
      <c r="T31">
        <v>4757.34</v>
      </c>
      <c r="U31">
        <v>30</v>
      </c>
    </row>
    <row r="32" spans="1:21" x14ac:dyDescent="0.3">
      <c r="A32" t="s">
        <v>52</v>
      </c>
      <c r="B32" t="s">
        <v>28</v>
      </c>
      <c r="C32">
        <v>20.34</v>
      </c>
      <c r="D32">
        <v>1159.25</v>
      </c>
      <c r="E32">
        <v>38</v>
      </c>
      <c r="Q32" t="s">
        <v>45</v>
      </c>
      <c r="R32" t="s">
        <v>14</v>
      </c>
      <c r="S32">
        <v>19.079999999999998</v>
      </c>
      <c r="T32">
        <v>4332.1000000000004</v>
      </c>
      <c r="U32">
        <v>31</v>
      </c>
    </row>
    <row r="33" spans="1:21" x14ac:dyDescent="0.3">
      <c r="A33" t="s">
        <v>46</v>
      </c>
      <c r="B33" t="s">
        <v>14</v>
      </c>
      <c r="C33">
        <v>20.3</v>
      </c>
      <c r="D33">
        <v>3369.03</v>
      </c>
      <c r="E33">
        <v>32</v>
      </c>
      <c r="Q33" t="s">
        <v>46</v>
      </c>
      <c r="R33" t="s">
        <v>14</v>
      </c>
      <c r="S33">
        <v>20.3</v>
      </c>
      <c r="T33">
        <v>3369.03</v>
      </c>
      <c r="U33">
        <v>32</v>
      </c>
    </row>
    <row r="34" spans="1:21" x14ac:dyDescent="0.3">
      <c r="A34" t="s">
        <v>24</v>
      </c>
      <c r="B34" t="s">
        <v>14</v>
      </c>
      <c r="C34">
        <v>19.600000000000001</v>
      </c>
      <c r="D34">
        <v>57251.37</v>
      </c>
      <c r="E34">
        <v>11</v>
      </c>
      <c r="Q34" t="s">
        <v>47</v>
      </c>
      <c r="R34" t="s">
        <v>14</v>
      </c>
      <c r="S34">
        <v>25.08</v>
      </c>
      <c r="T34">
        <v>3109.79</v>
      </c>
      <c r="U34">
        <v>33</v>
      </c>
    </row>
    <row r="35" spans="1:21" x14ac:dyDescent="0.3">
      <c r="A35" t="s">
        <v>41</v>
      </c>
      <c r="B35" t="s">
        <v>14</v>
      </c>
      <c r="C35">
        <v>19.600000000000001</v>
      </c>
      <c r="D35">
        <v>7920.01</v>
      </c>
      <c r="E35">
        <v>27</v>
      </c>
      <c r="Q35" t="s">
        <v>48</v>
      </c>
      <c r="R35" t="s">
        <v>14</v>
      </c>
      <c r="S35">
        <v>40.4</v>
      </c>
      <c r="T35">
        <v>3070.54</v>
      </c>
      <c r="U35">
        <v>34</v>
      </c>
    </row>
    <row r="36" spans="1:21" x14ac:dyDescent="0.3">
      <c r="A36" t="s">
        <v>25</v>
      </c>
      <c r="B36" t="s">
        <v>14</v>
      </c>
      <c r="C36">
        <v>19.55</v>
      </c>
      <c r="D36">
        <v>48801.54</v>
      </c>
      <c r="E36">
        <v>12</v>
      </c>
      <c r="Q36" t="s">
        <v>49</v>
      </c>
      <c r="R36" t="s">
        <v>14</v>
      </c>
      <c r="S36">
        <v>33.43</v>
      </c>
      <c r="T36">
        <v>1905.58</v>
      </c>
      <c r="U36">
        <v>35</v>
      </c>
    </row>
    <row r="37" spans="1:21" x14ac:dyDescent="0.3">
      <c r="A37" t="s">
        <v>45</v>
      </c>
      <c r="B37" t="s">
        <v>14</v>
      </c>
      <c r="C37">
        <v>19.079999999999998</v>
      </c>
      <c r="D37">
        <v>4332.1000000000004</v>
      </c>
      <c r="E37">
        <v>31</v>
      </c>
      <c r="Q37" t="s">
        <v>50</v>
      </c>
      <c r="R37" t="s">
        <v>14</v>
      </c>
      <c r="S37">
        <v>14.99</v>
      </c>
      <c r="T37">
        <v>1394.02</v>
      </c>
      <c r="U37">
        <v>36</v>
      </c>
    </row>
    <row r="38" spans="1:21" x14ac:dyDescent="0.3">
      <c r="A38" t="s">
        <v>13</v>
      </c>
      <c r="B38" t="s">
        <v>14</v>
      </c>
      <c r="C38">
        <v>17.88</v>
      </c>
      <c r="D38">
        <v>17179285.199999999</v>
      </c>
      <c r="E38">
        <v>1</v>
      </c>
      <c r="Q38" t="s">
        <v>51</v>
      </c>
      <c r="R38" t="s">
        <v>28</v>
      </c>
      <c r="S38">
        <v>36.86</v>
      </c>
      <c r="T38">
        <v>1253.1400000000001</v>
      </c>
      <c r="U38">
        <v>37</v>
      </c>
    </row>
    <row r="39" spans="1:21" x14ac:dyDescent="0.3">
      <c r="A39" t="s">
        <v>44</v>
      </c>
      <c r="B39" t="s">
        <v>14</v>
      </c>
      <c r="C39">
        <v>17.170000000000002</v>
      </c>
      <c r="D39">
        <v>4757.34</v>
      </c>
      <c r="E39">
        <v>30</v>
      </c>
      <c r="Q39" t="s">
        <v>52</v>
      </c>
      <c r="R39" t="s">
        <v>28</v>
      </c>
      <c r="S39">
        <v>20.34</v>
      </c>
      <c r="T39">
        <v>1159.25</v>
      </c>
      <c r="U39">
        <v>38</v>
      </c>
    </row>
    <row r="40" spans="1:21" x14ac:dyDescent="0.3">
      <c r="A40" t="s">
        <v>56</v>
      </c>
      <c r="B40" t="s">
        <v>14</v>
      </c>
      <c r="C40">
        <v>16.21</v>
      </c>
      <c r="D40">
        <v>145.91999999999999</v>
      </c>
      <c r="E40">
        <v>42</v>
      </c>
      <c r="Q40" t="s">
        <v>53</v>
      </c>
      <c r="R40" t="s">
        <v>14</v>
      </c>
      <c r="S40">
        <v>21.1</v>
      </c>
      <c r="T40">
        <v>1118.51</v>
      </c>
      <c r="U40">
        <v>39</v>
      </c>
    </row>
    <row r="41" spans="1:21" x14ac:dyDescent="0.3">
      <c r="A41" t="s">
        <v>50</v>
      </c>
      <c r="B41" t="s">
        <v>14</v>
      </c>
      <c r="C41">
        <v>14.99</v>
      </c>
      <c r="D41">
        <v>1394.02</v>
      </c>
      <c r="E41">
        <v>36</v>
      </c>
      <c r="Q41" t="s">
        <v>54</v>
      </c>
      <c r="R41" t="s">
        <v>14</v>
      </c>
      <c r="S41">
        <v>32.78</v>
      </c>
      <c r="T41">
        <v>786.74</v>
      </c>
      <c r="U41">
        <v>40</v>
      </c>
    </row>
    <row r="42" spans="1:21" x14ac:dyDescent="0.3">
      <c r="A42" t="s">
        <v>38</v>
      </c>
      <c r="B42" t="s">
        <v>28</v>
      </c>
      <c r="C42">
        <v>14.54</v>
      </c>
      <c r="D42">
        <v>10936.01</v>
      </c>
      <c r="E42">
        <v>24</v>
      </c>
      <c r="Q42" t="s">
        <v>55</v>
      </c>
      <c r="R42" t="s">
        <v>28</v>
      </c>
      <c r="S42">
        <v>9.93</v>
      </c>
      <c r="T42">
        <v>536.41</v>
      </c>
      <c r="U42">
        <v>41</v>
      </c>
    </row>
    <row r="43" spans="1:21" x14ac:dyDescent="0.3">
      <c r="A43" t="s">
        <v>55</v>
      </c>
      <c r="B43" t="s">
        <v>28</v>
      </c>
      <c r="C43">
        <v>9.93</v>
      </c>
      <c r="D43">
        <v>536.41</v>
      </c>
      <c r="E43">
        <v>41</v>
      </c>
      <c r="Q43" t="s">
        <v>56</v>
      </c>
      <c r="R43" t="s">
        <v>14</v>
      </c>
      <c r="S43">
        <v>16.21</v>
      </c>
      <c r="T43">
        <v>145.91999999999999</v>
      </c>
      <c r="U43">
        <v>42</v>
      </c>
    </row>
    <row r="44" spans="1:21" x14ac:dyDescent="0.3">
      <c r="A44" t="s">
        <v>57</v>
      </c>
      <c r="B44" t="s">
        <v>14</v>
      </c>
      <c r="C44">
        <v>3.88</v>
      </c>
      <c r="D44">
        <v>112.57</v>
      </c>
      <c r="E44">
        <v>43</v>
      </c>
      <c r="Q44" t="s">
        <v>57</v>
      </c>
      <c r="R44" t="s">
        <v>14</v>
      </c>
      <c r="S44">
        <v>3.88</v>
      </c>
      <c r="T44">
        <v>112.57</v>
      </c>
      <c r="U44">
        <v>43</v>
      </c>
    </row>
    <row r="45" spans="1:21" x14ac:dyDescent="0.3">
      <c r="A45" t="s">
        <v>81</v>
      </c>
      <c r="B45" t="s">
        <v>82</v>
      </c>
      <c r="C45">
        <f>SUM(C12:C44)</f>
        <v>737.79</v>
      </c>
      <c r="Q45" t="s">
        <v>81</v>
      </c>
      <c r="R45" t="s">
        <v>82</v>
      </c>
      <c r="S45">
        <f>SUM(S17:S44)</f>
        <v>673.25</v>
      </c>
      <c r="T45">
        <f>SUM(T12:T44)</f>
        <v>474113.24999999988</v>
      </c>
    </row>
  </sheetData>
  <pageMargins left="0.75" right="0.75" top="1" bottom="1" header="0.5" footer="0.5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30" sqref="C30"/>
    </sheetView>
  </sheetViews>
  <sheetFormatPr defaultRowHeight="14.4" x14ac:dyDescent="0.3"/>
  <cols>
    <col min="1" max="1" width="12.44140625" bestFit="1" customWidth="1"/>
    <col min="2" max="2" width="13.77734375" bestFit="1" customWidth="1"/>
  </cols>
  <sheetData>
    <row r="1" spans="1:3" x14ac:dyDescent="0.3">
      <c r="A1" t="s">
        <v>72</v>
      </c>
      <c r="B1" t="s">
        <v>73</v>
      </c>
      <c r="C1" t="s">
        <v>74</v>
      </c>
    </row>
    <row r="2" spans="1:3" x14ac:dyDescent="0.3">
      <c r="A2">
        <v>20961532.510000002</v>
      </c>
      <c r="B2">
        <v>-1526667.86</v>
      </c>
      <c r="C2">
        <v>-147614.07999999999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G3" sqref="G3"/>
    </sheetView>
  </sheetViews>
  <sheetFormatPr defaultRowHeight="14.4" x14ac:dyDescent="0.3"/>
  <cols>
    <col min="1" max="1" width="19.44140625" bestFit="1" customWidth="1"/>
    <col min="2" max="2" width="18.44140625" bestFit="1" customWidth="1"/>
    <col min="3" max="3" width="13.109375" bestFit="1" customWidth="1"/>
  </cols>
  <sheetData>
    <row r="1" spans="1:3" x14ac:dyDescent="0.3">
      <c r="A1" t="s">
        <v>67</v>
      </c>
      <c r="B1" t="s">
        <v>65</v>
      </c>
      <c r="C1" t="s">
        <v>66</v>
      </c>
    </row>
    <row r="2" spans="1:3" x14ac:dyDescent="0.3">
      <c r="A2" t="s">
        <v>68</v>
      </c>
      <c r="B2">
        <v>479.88</v>
      </c>
      <c r="C2">
        <v>36975</v>
      </c>
    </row>
    <row r="3" spans="1:3" x14ac:dyDescent="0.3">
      <c r="A3" t="s">
        <v>69</v>
      </c>
      <c r="B3">
        <v>367.24</v>
      </c>
      <c r="C3">
        <v>8361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topLeftCell="A7" workbookViewId="0">
      <selection activeCell="A8" sqref="A8"/>
    </sheetView>
  </sheetViews>
  <sheetFormatPr defaultRowHeight="14.4" x14ac:dyDescent="0.3"/>
  <cols>
    <col min="1" max="1" width="13.109375" bestFit="1" customWidth="1"/>
    <col min="2" max="2" width="22.21875" customWidth="1"/>
    <col min="3" max="3" width="14.88671875" customWidth="1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t="s">
        <v>63</v>
      </c>
      <c r="B2">
        <v>18.760000000000002</v>
      </c>
      <c r="C2">
        <v>3466988.26</v>
      </c>
    </row>
    <row r="3" spans="1:3" x14ac:dyDescent="0.3">
      <c r="A3" t="s">
        <v>61</v>
      </c>
      <c r="B3">
        <v>20.7</v>
      </c>
      <c r="C3">
        <v>3957669.07</v>
      </c>
    </row>
    <row r="4" spans="1:3" x14ac:dyDescent="0.3">
      <c r="A4" t="s">
        <v>62</v>
      </c>
      <c r="B4">
        <v>19.239999999999998</v>
      </c>
      <c r="C4">
        <v>3474851.71</v>
      </c>
    </row>
    <row r="5" spans="1:3" x14ac:dyDescent="0.3">
      <c r="A5" t="s">
        <v>60</v>
      </c>
      <c r="B5">
        <v>20.81</v>
      </c>
      <c r="C5">
        <v>4106407.62</v>
      </c>
    </row>
    <row r="6" spans="1:3" x14ac:dyDescent="0.3">
      <c r="A6" t="s">
        <v>59</v>
      </c>
      <c r="B6">
        <v>21.42</v>
      </c>
      <c r="C6">
        <v>3206530.34</v>
      </c>
    </row>
    <row r="7" spans="1:3" x14ac:dyDescent="0.3">
      <c r="A7" t="s">
        <v>58</v>
      </c>
      <c r="B7">
        <v>24.25</v>
      </c>
      <c r="C7">
        <v>9627.5499999999993</v>
      </c>
    </row>
    <row r="8" spans="1:3" x14ac:dyDescent="0.3">
      <c r="A8" t="s">
        <v>64</v>
      </c>
      <c r="B8">
        <v>13.26</v>
      </c>
      <c r="C8">
        <v>1825528.76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Top Products</vt:lpstr>
      <vt:lpstr>Month Revenue</vt:lpstr>
      <vt:lpstr>Rank Countries</vt:lpstr>
      <vt:lpstr>Revenue</vt:lpstr>
      <vt:lpstr>Users Comparison</vt:lpstr>
      <vt:lpstr>Revenue by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VICTUS</cp:lastModifiedBy>
  <dcterms:created xsi:type="dcterms:W3CDTF">2026-09-25T08:01:32Z</dcterms:created>
  <dcterms:modified xsi:type="dcterms:W3CDTF">2026-09-26T05:20:40Z</dcterms:modified>
</cp:coreProperties>
</file>